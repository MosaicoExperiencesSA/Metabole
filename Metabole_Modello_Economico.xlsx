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lo econom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Modello</author>
  </authors>
  <commentList>
    <comment ref="B9" authorId="0">
      <text>
        <r>
          <rPr>
            <sz val="10"/>
            <rFont val="Arial"/>
            <family val="2"/>
          </rPr>
          <t xml:space="preserve">Stima: piattaforma, hosting, amministrazione, quota nutrizionista capo, ecc. Da tarare.</t>
        </r>
      </text>
    </comment>
  </commentList>
</comments>
</file>

<file path=xl/sharedStrings.xml><?xml version="1.0" encoding="utf-8"?>
<sst xmlns="http://schemas.openxmlformats.org/spreadsheetml/2006/main" count="40" uniqueCount="32">
  <si>
    <t xml:space="preserve">Modello economico — App dimagrimento (piano mensile)</t>
  </si>
  <si>
    <t xml:space="preserve">Basato sui costi reali della piattaforma precedente. Celle blu = modificabili.</t>
  </si>
  <si>
    <t xml:space="preserve">IPOTESI  (modifica le celle blu)</t>
  </si>
  <si>
    <t xml:space="preserve">Prezzo del piano</t>
  </si>
  <si>
    <t xml:space="preserve">Marketing (% dei ricavi)</t>
  </si>
  <si>
    <t xml:space="preserve">Costo nutrizionista / cliente</t>
  </si>
  <si>
    <t xml:space="preserve">Costo commerciale + coach / cliente</t>
  </si>
  <si>
    <t xml:space="preserve">Costi fissi mensili</t>
  </si>
  <si>
    <t xml:space="preserve">Clienti attivi</t>
  </si>
  <si>
    <t xml:space="preserve">ECONOMIA PER CLIENTE  (per piano / mese)</t>
  </si>
  <si>
    <t xml:space="preserve">Ricavo</t>
  </si>
  <si>
    <t xml:space="preserve">Marketing</t>
  </si>
  <si>
    <t xml:space="preserve">Nutrizionista</t>
  </si>
  <si>
    <t xml:space="preserve">Commerciale + coach</t>
  </si>
  <si>
    <t xml:space="preserve">Costo variabile totale</t>
  </si>
  <si>
    <t xml:space="preserve">Margine di contribuzione (€)</t>
  </si>
  <si>
    <t xml:space="preserve">Margine di contribuzione (%)</t>
  </si>
  <si>
    <t xml:space="preserve">CONTO ECONOMICO MENSILE  (a n. clienti attivi)</t>
  </si>
  <si>
    <t xml:space="preserve">Ricavi</t>
  </si>
  <si>
    <t xml:space="preserve">Costi variabili totali</t>
  </si>
  <si>
    <t xml:space="preserve">Margine di contribuzione</t>
  </si>
  <si>
    <t xml:space="preserve">Costi fissi</t>
  </si>
  <si>
    <t xml:space="preserve">Utile mensile</t>
  </si>
  <si>
    <t xml:space="preserve">Utile annuo</t>
  </si>
  <si>
    <t xml:space="preserve">Break-even (n. clienti)</t>
  </si>
  <si>
    <t xml:space="preserve">SCENARI  (celle blu modificabili)</t>
  </si>
  <si>
    <t xml:space="preserve">Prudente</t>
  </si>
  <si>
    <t xml:space="preserve">Atteso</t>
  </si>
  <si>
    <t xml:space="preserve">Ottimista</t>
  </si>
  <si>
    <t xml:space="preserve">Marketing (% ricavi)</t>
  </si>
  <si>
    <t xml:space="preserve">Margine di contribuzione / cliente</t>
  </si>
  <si>
    <t xml:space="preserve">Modello semplificato: non include imposte, oneri fiscali né l'investimento iniziale di sviluppo.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</si>
</sst>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€ &quot;#,##0;&quot;(€ &quot;#,##0\);\-"/>
    <numFmt numFmtId="166" formatCode="0.0%"/>
    <numFmt numFmtId="167" formatCode="#,##0"/>
    <numFmt numFmtId="168" formatCode="&quot;€ &quot;#,##0.00;&quot;(€ 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6CC"/>
        <bgColor rgb="FFEEF3F3"/>
      </patternFill>
    </fill>
    <fill>
      <patternFill patternType="solid">
        <fgColor rgb="FFEEF3F3"/>
        <bgColor rgb="FFFFFFFF"/>
      </patternFill>
    </fill>
    <fill>
      <patternFill patternType="solid">
        <fgColor rgb="FF2E8B8B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E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E8B8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  <col collapsed="false" customWidth="true" hidden="false" outlineLevel="0" max="6" min="6" style="0" width="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99</v>
      </c>
    </row>
    <row r="6" customFormat="false" ht="15" hidden="false" customHeight="false" outlineLevel="0" collapsed="false">
      <c r="A6" s="4" t="s">
        <v>4</v>
      </c>
      <c r="B6" s="6" t="n">
        <v>0.12</v>
      </c>
    </row>
    <row r="7" customFormat="false" ht="15" hidden="false" customHeight="false" outlineLevel="0" collapsed="false">
      <c r="A7" s="4" t="s">
        <v>5</v>
      </c>
      <c r="B7" s="5" t="n">
        <v>30</v>
      </c>
    </row>
    <row r="8" customFormat="false" ht="15" hidden="false" customHeight="false" outlineLevel="0" collapsed="false">
      <c r="A8" s="4" t="s">
        <v>6</v>
      </c>
      <c r="B8" s="5" t="n">
        <v>30</v>
      </c>
    </row>
    <row r="9" customFormat="false" ht="15" hidden="false" customHeight="false" outlineLevel="0" collapsed="false">
      <c r="A9" s="4" t="s">
        <v>7</v>
      </c>
      <c r="B9" s="5" t="n">
        <v>4000</v>
      </c>
    </row>
    <row r="10" customFormat="false" ht="15" hidden="false" customHeight="false" outlineLevel="0" collapsed="false">
      <c r="A10" s="4" t="s">
        <v>8</v>
      </c>
      <c r="B10" s="7" t="n">
        <v>600</v>
      </c>
    </row>
    <row r="12" customFormat="false" ht="18" hidden="false" customHeight="true" outlineLevel="0" collapsed="false">
      <c r="A12" s="3" t="s">
        <v>9</v>
      </c>
      <c r="B12" s="3"/>
    </row>
    <row r="13" customFormat="false" ht="15" hidden="false" customHeight="false" outlineLevel="0" collapsed="false">
      <c r="A13" s="4" t="s">
        <v>10</v>
      </c>
      <c r="B13" s="8" t="n">
        <f aca="false">B5</f>
        <v>99</v>
      </c>
    </row>
    <row r="14" customFormat="false" ht="15" hidden="false" customHeight="false" outlineLevel="0" collapsed="false">
      <c r="A14" s="4" t="s">
        <v>11</v>
      </c>
      <c r="B14" s="8" t="n">
        <f aca="false">B5*B6</f>
        <v>11.88</v>
      </c>
    </row>
    <row r="15" customFormat="false" ht="15" hidden="false" customHeight="false" outlineLevel="0" collapsed="false">
      <c r="A15" s="4" t="s">
        <v>12</v>
      </c>
      <c r="B15" s="8" t="n">
        <f aca="false">B7</f>
        <v>30</v>
      </c>
    </row>
    <row r="16" customFormat="false" ht="15" hidden="false" customHeight="false" outlineLevel="0" collapsed="false">
      <c r="A16" s="4" t="s">
        <v>13</v>
      </c>
      <c r="B16" s="8" t="n">
        <f aca="false">B8</f>
        <v>30</v>
      </c>
    </row>
    <row r="17" customFormat="false" ht="15" hidden="false" customHeight="false" outlineLevel="0" collapsed="false">
      <c r="A17" s="4" t="s">
        <v>14</v>
      </c>
      <c r="B17" s="8" t="n">
        <f aca="false">B14+B15+B16</f>
        <v>71.88</v>
      </c>
    </row>
    <row r="18" customFormat="false" ht="15" hidden="false" customHeight="false" outlineLevel="0" collapsed="false">
      <c r="A18" s="9" t="s">
        <v>15</v>
      </c>
      <c r="B18" s="10" t="n">
        <f aca="false">B13-B17</f>
        <v>27.12</v>
      </c>
    </row>
    <row r="19" customFormat="false" ht="15" hidden="false" customHeight="false" outlineLevel="0" collapsed="false">
      <c r="A19" s="9" t="s">
        <v>16</v>
      </c>
      <c r="B19" s="11" t="n">
        <f aca="false">B18/B13</f>
        <v>0.273939393939394</v>
      </c>
    </row>
    <row r="21" customFormat="false" ht="18" hidden="false" customHeight="true" outlineLevel="0" collapsed="false">
      <c r="A21" s="3" t="s">
        <v>17</v>
      </c>
      <c r="B21" s="3"/>
    </row>
    <row r="22" customFormat="false" ht="15" hidden="false" customHeight="false" outlineLevel="0" collapsed="false">
      <c r="A22" s="4" t="s">
        <v>18</v>
      </c>
      <c r="B22" s="12" t="n">
        <f aca="false">B5*B10</f>
        <v>59400</v>
      </c>
    </row>
    <row r="23" customFormat="false" ht="15" hidden="false" customHeight="false" outlineLevel="0" collapsed="false">
      <c r="A23" s="4" t="s">
        <v>19</v>
      </c>
      <c r="B23" s="12" t="n">
        <f aca="false">B17*B10</f>
        <v>43128</v>
      </c>
    </row>
    <row r="24" customFormat="false" ht="15" hidden="false" customHeight="false" outlineLevel="0" collapsed="false">
      <c r="A24" s="4" t="s">
        <v>20</v>
      </c>
      <c r="B24" s="12" t="n">
        <f aca="false">B22-B23</f>
        <v>16272</v>
      </c>
    </row>
    <row r="25" customFormat="false" ht="15" hidden="false" customHeight="false" outlineLevel="0" collapsed="false">
      <c r="A25" s="4" t="s">
        <v>21</v>
      </c>
      <c r="B25" s="12" t="n">
        <f aca="false">B9</f>
        <v>4000</v>
      </c>
    </row>
    <row r="26" customFormat="false" ht="15" hidden="false" customHeight="false" outlineLevel="0" collapsed="false">
      <c r="A26" s="9" t="s">
        <v>22</v>
      </c>
      <c r="B26" s="13" t="n">
        <f aca="false">B24-B25</f>
        <v>12272</v>
      </c>
    </row>
    <row r="27" customFormat="false" ht="15" hidden="false" customHeight="false" outlineLevel="0" collapsed="false">
      <c r="A27" s="9" t="s">
        <v>23</v>
      </c>
      <c r="B27" s="13" t="n">
        <f aca="false">B26*12</f>
        <v>147264</v>
      </c>
    </row>
    <row r="28" customFormat="false" ht="15" hidden="false" customHeight="false" outlineLevel="0" collapsed="false">
      <c r="A28" s="9" t="s">
        <v>24</v>
      </c>
      <c r="B28" s="14" t="n">
        <f aca="false">B9/B18</f>
        <v>147.492625368732</v>
      </c>
    </row>
    <row r="30" customFormat="false" ht="18" hidden="false" customHeight="true" outlineLevel="0" collapsed="false">
      <c r="A30" s="3" t="s">
        <v>25</v>
      </c>
      <c r="B30" s="3"/>
      <c r="C30" s="3"/>
      <c r="D30" s="3"/>
      <c r="E30" s="3"/>
    </row>
    <row r="31" customFormat="false" ht="15" hidden="false" customHeight="false" outlineLevel="0" collapsed="false">
      <c r="C31" s="15" t="s">
        <v>26</v>
      </c>
      <c r="D31" s="15" t="s">
        <v>27</v>
      </c>
      <c r="E31" s="15" t="s">
        <v>28</v>
      </c>
    </row>
    <row r="32" customFormat="false" ht="15" hidden="false" customHeight="false" outlineLevel="0" collapsed="false">
      <c r="A32" s="4" t="s">
        <v>3</v>
      </c>
      <c r="C32" s="5" t="n">
        <v>99</v>
      </c>
      <c r="D32" s="5" t="n">
        <v>99</v>
      </c>
      <c r="E32" s="5" t="n">
        <v>119</v>
      </c>
    </row>
    <row r="33" customFormat="false" ht="15" hidden="false" customHeight="false" outlineLevel="0" collapsed="false">
      <c r="A33" s="4" t="s">
        <v>29</v>
      </c>
      <c r="C33" s="6" t="n">
        <v>0.12</v>
      </c>
      <c r="D33" s="6" t="n">
        <v>0.12</v>
      </c>
      <c r="E33" s="6" t="n">
        <v>0.12</v>
      </c>
    </row>
    <row r="34" customFormat="false" ht="15" hidden="false" customHeight="false" outlineLevel="0" collapsed="false">
      <c r="A34" s="4" t="s">
        <v>5</v>
      </c>
      <c r="C34" s="5" t="n">
        <v>30</v>
      </c>
      <c r="D34" s="5" t="n">
        <v>30</v>
      </c>
      <c r="E34" s="5" t="n">
        <v>28</v>
      </c>
    </row>
    <row r="35" customFormat="false" ht="15" hidden="false" customHeight="false" outlineLevel="0" collapsed="false">
      <c r="A35" s="4" t="s">
        <v>6</v>
      </c>
      <c r="C35" s="5" t="n">
        <v>30</v>
      </c>
      <c r="D35" s="5" t="n">
        <v>30</v>
      </c>
      <c r="E35" s="5" t="n">
        <v>28</v>
      </c>
    </row>
    <row r="36" customFormat="false" ht="15" hidden="false" customHeight="false" outlineLevel="0" collapsed="false">
      <c r="A36" s="4" t="s">
        <v>7</v>
      </c>
      <c r="C36" s="5" t="n">
        <v>4000</v>
      </c>
      <c r="D36" s="5" t="n">
        <v>4500</v>
      </c>
      <c r="E36" s="5" t="n">
        <v>6000</v>
      </c>
    </row>
    <row r="37" customFormat="false" ht="15" hidden="false" customHeight="false" outlineLevel="0" collapsed="false">
      <c r="A37" s="4" t="s">
        <v>8</v>
      </c>
      <c r="C37" s="7" t="n">
        <v>300</v>
      </c>
      <c r="D37" s="7" t="n">
        <v>600</v>
      </c>
      <c r="E37" s="7" t="n">
        <v>1200</v>
      </c>
    </row>
    <row r="38" customFormat="false" ht="15" hidden="false" customHeight="false" outlineLevel="0" collapsed="false">
      <c r="A38" s="4" t="s">
        <v>30</v>
      </c>
      <c r="C38" s="12" t="n">
        <f aca="false">C32-(C32*C33+C34+C35)</f>
        <v>27.12</v>
      </c>
      <c r="D38" s="12" t="n">
        <f aca="false">D32-(D32*D33+D34+D35)</f>
        <v>27.12</v>
      </c>
      <c r="E38" s="12" t="n">
        <f aca="false">E32-(E32*E33+E34+E35)</f>
        <v>48.72</v>
      </c>
    </row>
    <row r="39" customFormat="false" ht="15" hidden="false" customHeight="false" outlineLevel="0" collapsed="false">
      <c r="A39" s="4" t="s">
        <v>16</v>
      </c>
      <c r="C39" s="16" t="n">
        <f aca="false">(C32-(C32*C33+C34+C35))/C32</f>
        <v>0.273939393939394</v>
      </c>
      <c r="D39" s="16" t="n">
        <f aca="false">(D32-(D32*D33+D34+D35))/D32</f>
        <v>0.273939393939394</v>
      </c>
      <c r="E39" s="16" t="n">
        <f aca="false">(E32-(E32*E33+E34+E35))/E32</f>
        <v>0.409411764705882</v>
      </c>
    </row>
    <row r="40" customFormat="false" ht="15" hidden="false" customHeight="false" outlineLevel="0" collapsed="false">
      <c r="A40" s="9" t="s">
        <v>22</v>
      </c>
      <c r="C40" s="13" t="n">
        <f aca="false">C37*C38-C36</f>
        <v>4136</v>
      </c>
      <c r="D40" s="13" t="n">
        <f aca="false">D37*D38-D36</f>
        <v>11772</v>
      </c>
      <c r="E40" s="13" t="n">
        <f aca="false">E37*E38-E36</f>
        <v>52464</v>
      </c>
    </row>
    <row r="41" customFormat="false" ht="15" hidden="false" customHeight="false" outlineLevel="0" collapsed="false">
      <c r="A41" s="9" t="s">
        <v>24</v>
      </c>
      <c r="C41" s="14" t="n">
        <f aca="false">C36/C38</f>
        <v>147.492625368732</v>
      </c>
      <c r="D41" s="14" t="n">
        <f aca="false">D36/D38</f>
        <v>165.929203539823</v>
      </c>
      <c r="E41" s="14" t="n">
        <f aca="false">E36/E38</f>
        <v>123.152709359606</v>
      </c>
    </row>
    <row r="43" customFormat="false" ht="15" hidden="false" customHeight="false" outlineLevel="0" collapsed="false">
      <c r="A43" s="2" t="s">
        <v>31</v>
      </c>
      <c r="B43" s="2"/>
      <c r="C43" s="2"/>
      <c r="D43" s="2"/>
      <c r="E43" s="2"/>
      <c r="F43" s="2"/>
    </row>
  </sheetData>
  <mergeCells count="7">
    <mergeCell ref="A1:F1"/>
    <mergeCell ref="A2:F2"/>
    <mergeCell ref="A4:B4"/>
    <mergeCell ref="A12:B12"/>
    <mergeCell ref="A21:B21"/>
    <mergeCell ref="A30:E30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2026-07-08T19:01:09Z</dcterms:created>
  <dc:creator>openpyxl</dc:creator>
  <dc:description/>
  <dc:language>en-US</dc:language>
  <cp:lastModifiedBy/>
  <dcterms:modified xsi:type="dcterms:W3CDTF">2026-07-08T19:01:09Z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